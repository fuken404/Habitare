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en404/Desktop/Proyectos/Habitare/"/>
    </mc:Choice>
  </mc:AlternateContent>
  <xr:revisionPtr revIDLastSave="0" documentId="8_{CD706270-7618-2E4B-99F6-5BB4A77B1611}" xr6:coauthVersionLast="47" xr6:coauthVersionMax="47" xr10:uidLastSave="{00000000-0000-0000-0000-000000000000}"/>
  <bookViews>
    <workbookView xWindow="35600" yWindow="-1220" windowWidth="28040" windowHeight="17160" activeTab="1" xr2:uid="{4CF8F851-34E5-FF4D-BE3F-55A45BD12988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2" i="1"/>
  <c r="C3" i="1"/>
  <c r="C4" i="1"/>
  <c r="C5" i="1"/>
  <c r="C6" i="1"/>
  <c r="N8" i="2"/>
  <c r="M8" i="2"/>
  <c r="L8" i="2"/>
  <c r="L10" i="2" s="1"/>
  <c r="B6" i="1"/>
  <c r="F2" i="1"/>
</calcChain>
</file>

<file path=xl/sharedStrings.xml><?xml version="1.0" encoding="utf-8"?>
<sst xmlns="http://schemas.openxmlformats.org/spreadsheetml/2006/main" count="69" uniqueCount="53">
  <si>
    <t>GCP</t>
  </si>
  <si>
    <t>Mercadotecnia</t>
  </si>
  <si>
    <t>Luz Internet etc</t>
  </si>
  <si>
    <t xml:space="preserve">Creación empresa </t>
  </si>
  <si>
    <t>Soporte técnico</t>
  </si>
  <si>
    <t>GASTOS MENSUALES</t>
  </si>
  <si>
    <t>Visitantes</t>
  </si>
  <si>
    <t>Cartera</t>
  </si>
  <si>
    <t>Comunicados</t>
  </si>
  <si>
    <t>Gestión Parq.</t>
  </si>
  <si>
    <t>PQRS</t>
  </si>
  <si>
    <t>Zonas Comunes</t>
  </si>
  <si>
    <t>Ingresos y salidas</t>
  </si>
  <si>
    <t>Paquetes</t>
  </si>
  <si>
    <t>Modulos</t>
  </si>
  <si>
    <t>Principales</t>
  </si>
  <si>
    <t>Secundarios</t>
  </si>
  <si>
    <t>x</t>
  </si>
  <si>
    <t>Obsequio</t>
  </si>
  <si>
    <t>Incidentes</t>
  </si>
  <si>
    <t>Video tutorial x mod</t>
  </si>
  <si>
    <t>UNIFICAR</t>
  </si>
  <si>
    <t>Renombrar a servicios externos</t>
  </si>
  <si>
    <t>Administración autoriza</t>
  </si>
  <si>
    <t>Incluir también para residentes</t>
  </si>
  <si>
    <t>Trasteos</t>
  </si>
  <si>
    <t>Módulo de admin autoriza y recepcio y seguridad consultanm</t>
  </si>
  <si>
    <t>Incluir que al darle clic a los users desde las tablas del web me aparezca la información del usuario y sus históricos del tema a tratar en el módulpo</t>
  </si>
  <si>
    <t>Marketplace</t>
  </si>
  <si>
    <t>Modulo para venta por parte de residentees</t>
  </si>
  <si>
    <t>Módulo de un mapa para qué encontrar cerca al conjunto</t>
  </si>
  <si>
    <t>Aliados comerciales</t>
  </si>
  <si>
    <t>Soporte tecnico</t>
  </si>
  <si>
    <t>Gestion usuarios</t>
  </si>
  <si>
    <t>Revision unidades</t>
  </si>
  <si>
    <t>Citas admin</t>
  </si>
  <si>
    <t>Solicitar citas de residentes (20 min) y gestionar calendario por parte del admin</t>
  </si>
  <si>
    <t>Paquete basico</t>
  </si>
  <si>
    <t>Paquete plus</t>
  </si>
  <si>
    <t>Paquete premium</t>
  </si>
  <si>
    <t>user x apto</t>
  </si>
  <si>
    <t>mods prin.</t>
  </si>
  <si>
    <t>mods sec.</t>
  </si>
  <si>
    <t>Mod primario</t>
  </si>
  <si>
    <t>Mod secundario</t>
  </si>
  <si>
    <t># aptos</t>
  </si>
  <si>
    <t>$ x apto</t>
  </si>
  <si>
    <t>Mods princ extra</t>
  </si>
  <si>
    <t>Mods sec extra</t>
  </si>
  <si>
    <t>basico (605)</t>
  </si>
  <si>
    <t>medio (1815)</t>
  </si>
  <si>
    <t>plus (3025)</t>
  </si>
  <si>
    <t>pro (6050)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</si>
</sst>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42" fontId="0" fillId="0" borderId="0" xfId="1" applyFont="1"/>
    <xf numFmtId="0" fontId="0" fillId="0" borderId="0" xfId="0" applyAlignment="1">
      <alignment horizontal="center"/>
    </xf>
    <xf numFmtId="42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5ABA-728E-A445-A7BD-C976F0835D4A}">
  <dimension ref="A1:L10"/>
  <sheetViews>
    <sheetView workbookViewId="0">
      <selection activeCell="D5" sqref="D5"/>
    </sheetView>
  </sheetViews>
  <sheetFormatPr baseColWidth="10" defaultRowHeight="16" x14ac:dyDescent="0.2"/>
  <cols>
    <col min="1" max="1" width="13.6640625" bestFit="1" customWidth="1"/>
    <col min="2" max="2" width="11.83203125" style="1" bestFit="1" customWidth="1"/>
    <col min="5" max="5" width="16.33203125" bestFit="1" customWidth="1"/>
    <col min="6" max="6" width="10.83203125" style="1"/>
    <col min="10" max="10" width="11.83203125" bestFit="1" customWidth="1"/>
  </cols>
  <sheetData>
    <row r="1" spans="1:12" x14ac:dyDescent="0.2">
      <c r="A1" s="4" t="s">
        <v>5</v>
      </c>
      <c r="B1" s="4"/>
      <c r="I1" t="s">
        <v>49</v>
      </c>
      <c r="J1" t="s">
        <v>50</v>
      </c>
      <c r="K1" t="s">
        <v>51</v>
      </c>
      <c r="L1" t="s">
        <v>52</v>
      </c>
    </row>
    <row r="2" spans="1:12" x14ac:dyDescent="0.2">
      <c r="A2" t="s">
        <v>0</v>
      </c>
      <c r="B2" s="1">
        <v>250000</v>
      </c>
      <c r="C2" s="9">
        <f>B2/350</f>
        <v>714.28571428571433</v>
      </c>
      <c r="E2" t="s">
        <v>3</v>
      </c>
      <c r="F2" s="1">
        <f>8500+73000+48400</f>
        <v>129900</v>
      </c>
      <c r="H2" t="s">
        <v>0</v>
      </c>
      <c r="I2">
        <v>437</v>
      </c>
      <c r="J2">
        <v>145</v>
      </c>
      <c r="K2">
        <v>95</v>
      </c>
      <c r="L2">
        <v>58</v>
      </c>
    </row>
    <row r="3" spans="1:12" x14ac:dyDescent="0.2">
      <c r="A3" t="s">
        <v>1</v>
      </c>
      <c r="B3" s="1">
        <v>100000</v>
      </c>
      <c r="C3" s="9">
        <f>B3/350</f>
        <v>285.71428571428572</v>
      </c>
    </row>
    <row r="4" spans="1:12" x14ac:dyDescent="0.2">
      <c r="A4" t="s">
        <v>2</v>
      </c>
      <c r="B4" s="1">
        <v>80000</v>
      </c>
      <c r="C4" s="9">
        <f>B4/350</f>
        <v>228.57142857142858</v>
      </c>
    </row>
    <row r="5" spans="1:12" x14ac:dyDescent="0.2">
      <c r="A5" t="s">
        <v>4</v>
      </c>
      <c r="B5" s="1">
        <v>500000</v>
      </c>
      <c r="C5" s="9">
        <f>B5/350</f>
        <v>1428.5714285714287</v>
      </c>
    </row>
    <row r="6" spans="1:12" x14ac:dyDescent="0.2">
      <c r="B6" s="1">
        <f>SUM(B2:B5)</f>
        <v>930000</v>
      </c>
      <c r="C6" s="9">
        <f>B6/350</f>
        <v>2657.1428571428573</v>
      </c>
      <c r="D6">
        <f>+C6/0.65</f>
        <v>4087.9120879120883</v>
      </c>
    </row>
    <row r="10" spans="1:12" x14ac:dyDescent="0.2">
      <c r="A10" s="4"/>
      <c r="B10" s="4"/>
    </row>
  </sheetData>
  <mergeCells count="2">
    <mergeCell ref="A1:B1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12EF-D728-F74C-83C4-1239C1413E18}">
  <dimension ref="A1:Q19"/>
  <sheetViews>
    <sheetView tabSelected="1" workbookViewId="0">
      <selection activeCell="E27" sqref="E27"/>
    </sheetView>
  </sheetViews>
  <sheetFormatPr baseColWidth="10" defaultRowHeight="16" x14ac:dyDescent="0.2"/>
  <cols>
    <col min="1" max="1" width="17.1640625" bestFit="1" customWidth="1"/>
    <col min="11" max="11" width="14.5" bestFit="1" customWidth="1"/>
    <col min="12" max="12" width="16.33203125" bestFit="1" customWidth="1"/>
    <col min="13" max="13" width="17.1640625" bestFit="1" customWidth="1"/>
    <col min="14" max="14" width="15.33203125" bestFit="1" customWidth="1"/>
    <col min="16" max="16" width="14" bestFit="1" customWidth="1"/>
  </cols>
  <sheetData>
    <row r="1" spans="1:17" x14ac:dyDescent="0.2">
      <c r="A1" s="5" t="s">
        <v>14</v>
      </c>
      <c r="B1" s="5" t="s">
        <v>15</v>
      </c>
      <c r="C1" s="5" t="s">
        <v>16</v>
      </c>
      <c r="D1" s="5" t="s">
        <v>18</v>
      </c>
      <c r="L1" s="2" t="s">
        <v>37</v>
      </c>
      <c r="M1" s="2" t="s">
        <v>38</v>
      </c>
      <c r="N1" s="2" t="s">
        <v>39</v>
      </c>
      <c r="P1" s="2" t="s">
        <v>43</v>
      </c>
      <c r="Q1" s="1">
        <v>300</v>
      </c>
    </row>
    <row r="2" spans="1:17" x14ac:dyDescent="0.2">
      <c r="A2" t="s">
        <v>6</v>
      </c>
      <c r="B2" s="6" t="s">
        <v>17</v>
      </c>
      <c r="C2" s="6"/>
      <c r="D2" s="6"/>
      <c r="K2" t="s">
        <v>40</v>
      </c>
      <c r="L2" s="6">
        <v>1</v>
      </c>
      <c r="M2" s="6">
        <v>2</v>
      </c>
      <c r="N2" s="6">
        <v>4</v>
      </c>
      <c r="O2" s="6"/>
      <c r="P2" t="s">
        <v>44</v>
      </c>
      <c r="Q2" s="3">
        <v>200</v>
      </c>
    </row>
    <row r="3" spans="1:17" x14ac:dyDescent="0.2">
      <c r="A3" t="s">
        <v>7</v>
      </c>
      <c r="B3" s="6"/>
      <c r="C3" s="6" t="s">
        <v>17</v>
      </c>
      <c r="D3" s="6"/>
      <c r="K3" t="s">
        <v>41</v>
      </c>
      <c r="L3" s="6">
        <v>5</v>
      </c>
      <c r="M3" s="6">
        <v>7</v>
      </c>
      <c r="N3" s="6">
        <v>9</v>
      </c>
      <c r="O3" s="6"/>
    </row>
    <row r="4" spans="1:17" x14ac:dyDescent="0.2">
      <c r="A4" t="s">
        <v>8</v>
      </c>
      <c r="B4" s="6" t="s">
        <v>17</v>
      </c>
      <c r="C4" s="6"/>
      <c r="D4" s="6"/>
      <c r="K4" t="s">
        <v>42</v>
      </c>
      <c r="L4" s="6">
        <v>1</v>
      </c>
      <c r="M4" s="6">
        <v>2</v>
      </c>
      <c r="N4" s="6">
        <v>4</v>
      </c>
      <c r="O4" s="6"/>
    </row>
    <row r="5" spans="1:17" x14ac:dyDescent="0.2">
      <c r="A5" t="s">
        <v>9</v>
      </c>
      <c r="B5" s="6"/>
      <c r="C5" s="6"/>
      <c r="D5" s="6" t="s">
        <v>17</v>
      </c>
      <c r="K5" t="s">
        <v>46</v>
      </c>
      <c r="L5" s="8">
        <v>1500</v>
      </c>
      <c r="M5" s="8">
        <v>1800</v>
      </c>
      <c r="N5" s="8">
        <v>2100</v>
      </c>
      <c r="O5" s="6"/>
    </row>
    <row r="6" spans="1:17" x14ac:dyDescent="0.2">
      <c r="A6" t="s">
        <v>19</v>
      </c>
      <c r="B6" s="6"/>
      <c r="C6" s="7" t="s">
        <v>17</v>
      </c>
      <c r="D6" s="6"/>
      <c r="E6" s="4" t="s">
        <v>21</v>
      </c>
      <c r="K6" t="s">
        <v>47</v>
      </c>
      <c r="L6" s="6">
        <v>0</v>
      </c>
      <c r="M6" s="2">
        <v>0</v>
      </c>
      <c r="N6" s="2">
        <v>0</v>
      </c>
    </row>
    <row r="7" spans="1:17" x14ac:dyDescent="0.2">
      <c r="A7" t="s">
        <v>10</v>
      </c>
      <c r="B7" s="6"/>
      <c r="C7" s="7"/>
      <c r="D7" s="6"/>
      <c r="E7" s="4"/>
      <c r="K7" t="s">
        <v>48</v>
      </c>
      <c r="L7" s="2">
        <v>0</v>
      </c>
      <c r="M7" s="2">
        <v>0</v>
      </c>
      <c r="N7" s="2">
        <v>0</v>
      </c>
    </row>
    <row r="8" spans="1:17" x14ac:dyDescent="0.2">
      <c r="A8" t="s">
        <v>11</v>
      </c>
      <c r="B8" s="6" t="s">
        <v>17</v>
      </c>
      <c r="C8" s="6"/>
      <c r="D8" s="6"/>
      <c r="K8" t="s">
        <v>45</v>
      </c>
      <c r="L8" s="9">
        <f>(L5+(L6*$Q$1)+(L7*$Q$2))*$K$9</f>
        <v>1374000</v>
      </c>
      <c r="M8" s="9">
        <f>(M5+(M6*$Q$1)+(M7*$Q$2))*$K$9</f>
        <v>1648800</v>
      </c>
      <c r="N8" s="9">
        <f>(N5+(N6*$Q$1)+(N7*$Q$2))*$K$9</f>
        <v>1923600</v>
      </c>
      <c r="Q8" s="11"/>
    </row>
    <row r="9" spans="1:17" x14ac:dyDescent="0.2">
      <c r="A9" t="s">
        <v>12</v>
      </c>
      <c r="B9" s="6" t="s">
        <v>17</v>
      </c>
      <c r="C9" s="6"/>
      <c r="D9" s="6"/>
      <c r="E9" t="s">
        <v>22</v>
      </c>
      <c r="F9" t="s">
        <v>23</v>
      </c>
      <c r="G9" t="s">
        <v>24</v>
      </c>
      <c r="K9">
        <v>916</v>
      </c>
    </row>
    <row r="10" spans="1:17" x14ac:dyDescent="0.2">
      <c r="A10" t="s">
        <v>13</v>
      </c>
      <c r="B10" s="6" t="s">
        <v>17</v>
      </c>
      <c r="C10" s="6"/>
      <c r="D10" s="6"/>
      <c r="L10" s="9">
        <f>L8-930000</f>
        <v>444000</v>
      </c>
    </row>
    <row r="11" spans="1:17" x14ac:dyDescent="0.2">
      <c r="A11" t="s">
        <v>20</v>
      </c>
      <c r="B11" s="6"/>
      <c r="C11" s="6"/>
      <c r="D11" s="6" t="s">
        <v>17</v>
      </c>
    </row>
    <row r="12" spans="1:17" x14ac:dyDescent="0.2">
      <c r="A12" s="10" t="s">
        <v>25</v>
      </c>
      <c r="B12" s="6"/>
      <c r="C12" s="6"/>
      <c r="D12" s="6" t="s">
        <v>17</v>
      </c>
      <c r="E12" t="s">
        <v>26</v>
      </c>
    </row>
    <row r="13" spans="1:17" x14ac:dyDescent="0.2">
      <c r="A13" t="s">
        <v>31</v>
      </c>
      <c r="B13" s="6"/>
      <c r="C13" s="6" t="s">
        <v>17</v>
      </c>
      <c r="D13" s="6"/>
      <c r="E13" t="s">
        <v>30</v>
      </c>
    </row>
    <row r="14" spans="1:17" x14ac:dyDescent="0.2">
      <c r="A14" t="s">
        <v>28</v>
      </c>
      <c r="B14" s="6"/>
      <c r="C14" s="6" t="s">
        <v>17</v>
      </c>
      <c r="D14" s="6"/>
      <c r="E14" t="s">
        <v>29</v>
      </c>
    </row>
    <row r="15" spans="1:17" x14ac:dyDescent="0.2">
      <c r="A15" t="s">
        <v>32</v>
      </c>
      <c r="B15" s="6" t="s">
        <v>17</v>
      </c>
      <c r="C15" s="6"/>
      <c r="D15" s="6"/>
    </row>
    <row r="16" spans="1:17" x14ac:dyDescent="0.2">
      <c r="A16" s="10" t="s">
        <v>33</v>
      </c>
      <c r="B16" s="6" t="s">
        <v>17</v>
      </c>
    </row>
    <row r="17" spans="1:5" x14ac:dyDescent="0.2">
      <c r="A17" s="10" t="s">
        <v>34</v>
      </c>
      <c r="B17" s="6" t="s">
        <v>17</v>
      </c>
    </row>
    <row r="18" spans="1:5" x14ac:dyDescent="0.2">
      <c r="A18" t="s">
        <v>35</v>
      </c>
      <c r="B18" s="6" t="s">
        <v>17</v>
      </c>
      <c r="C18" s="6"/>
      <c r="E18" t="s">
        <v>36</v>
      </c>
    </row>
    <row r="19" spans="1:5" x14ac:dyDescent="0.2">
      <c r="A19" t="s">
        <v>27</v>
      </c>
    </row>
  </sheetData>
  <mergeCells count="2">
    <mergeCell ref="E6:E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Maycol Stiven Fuquene Achury</dc:creator>
  <cp:lastModifiedBy>Maycol Stiven Fuquene Achury</cp:lastModifiedBy>
  <dcterms:created xsi:type="dcterms:W3CDTF">2026-04-02T17:48:24Z</dcterms:created>
  <dcterms:modified xsi:type="dcterms:W3CDTF">2026-04-11T14:50:43Z</dcterms:modified>
</cp:coreProperties>
</file>